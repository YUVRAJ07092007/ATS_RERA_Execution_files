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Sheet1!$A$4:$F$20</definedName>
  </definedNames>
  <calcPr/>
  <extLst>
    <ext uri="GoogleSheetsCustomDataVersion2">
      <go:sheetsCustomData xmlns:go="http://customooxmlschemas.google.com/" r:id="rId6" roundtripDataChecksum="RMrv2XxbIRN5e6GYrw1hcXftplwKVUgHmik8NruCc/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3">
      <text>
        <t xml:space="preserve">======
ID#AAABZm2mD4k
    (2024-12-05 02:42:11)
In Jan 2020</t>
      </text>
    </comment>
    <comment authorId="0" ref="C44">
      <text>
        <t xml:space="preserve">======
ID#AAABZm2mD4g
    (2024-12-05 02:42:11)
in Jan 2020
	-Vijyant Agarwal</t>
      </text>
    </comment>
  </commentList>
  <extLst>
    <ext uri="GoogleSheetsCustomDataVersion2">
      <go:sheetsCustomData xmlns:go="http://customooxmlschemas.google.com/" r:id="rId1" roundtripDataSignature="AMtx7mgh0uOFXAYp92+ESRF6l4QU2O42dA=="/>
    </ext>
  </extLst>
</comments>
</file>

<file path=xl/sharedStrings.xml><?xml version="1.0" encoding="utf-8"?>
<sst xmlns="http://schemas.openxmlformats.org/spreadsheetml/2006/main" count="51" uniqueCount="23">
  <si>
    <r>
      <rPr>
        <rFont val="Arial"/>
        <color theme="1"/>
        <sz val="12.0"/>
      </rPr>
      <t xml:space="preserve"> Outstanding  Dues till March 2025 </t>
    </r>
    <r>
      <rPr>
        <rFont val="Arial"/>
        <b/>
        <color theme="1"/>
        <sz val="12.0"/>
      </rPr>
      <t>RS 1059009</t>
    </r>
  </si>
  <si>
    <t xml:space="preserve">           Details as below:-</t>
  </si>
  <si>
    <t>ATS</t>
  </si>
  <si>
    <t>PNB</t>
  </si>
  <si>
    <t xml:space="preserve">   DATE </t>
  </si>
  <si>
    <t xml:space="preserve">     Rs.</t>
  </si>
  <si>
    <t xml:space="preserve">      DATE</t>
  </si>
  <si>
    <t xml:space="preserve">       Rs.</t>
  </si>
  <si>
    <t>Diff. Rs.</t>
  </si>
  <si>
    <t>with 12 % interest</t>
  </si>
  <si>
    <t>with 10% interest</t>
  </si>
  <si>
    <t>2317+8260</t>
  </si>
  <si>
    <t>**-12-2018</t>
  </si>
  <si>
    <t>DIRECT</t>
  </si>
  <si>
    <t>20,23-04-2021</t>
  </si>
  <si>
    <t>5,17,27,10-02-2022</t>
  </si>
  <si>
    <t>.10-03-2022</t>
  </si>
  <si>
    <t>15,30-05-2023</t>
  </si>
  <si>
    <t>Total</t>
  </si>
  <si>
    <t>User Name:-</t>
  </si>
  <si>
    <t>Vijyant</t>
  </si>
  <si>
    <t>Pwd:-</t>
  </si>
  <si>
    <t>Vineeta191@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</si>
</sst>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mmm yyyy"/>
  </numFmts>
  <fonts count="16">
    <font>
      <sz val="10.0"/>
      <color rgb="FF000000"/>
      <name val="Arial"/>
      <scheme val="minor"/>
    </font>
    <font>
      <b/>
      <sz val="13.0"/>
      <color rgb="FF1F1F1F"/>
      <name val="Arial"/>
    </font>
    <font>
      <b/>
      <sz val="14.0"/>
      <color theme="1"/>
      <name val="Arial"/>
    </font>
    <font>
      <b/>
      <sz val="15.0"/>
      <color theme="1"/>
      <name val="Arial"/>
    </font>
    <font>
      <b/>
      <sz val="16.0"/>
      <color theme="1"/>
      <name val="Arial"/>
    </font>
    <font>
      <b/>
      <sz val="20.0"/>
      <color theme="1"/>
      <name val="Arial"/>
    </font>
    <font>
      <sz val="13.0"/>
      <color theme="1"/>
      <name val="Arial"/>
    </font>
    <font>
      <color theme="1"/>
      <name val="Arial"/>
    </font>
    <font>
      <sz val="12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4.0"/>
      <color theme="1"/>
      <name val="Arial"/>
    </font>
    <font>
      <sz val="12.0"/>
      <color rgb="FF000000"/>
      <name val="Arial"/>
    </font>
    <font>
      <sz val="15.0"/>
      <color theme="1"/>
      <name val="Arial"/>
    </font>
    <font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2" fontId="4" numFmtId="0" xfId="0" applyBorder="1" applyFont="1"/>
    <xf borderId="0" fillId="2" fontId="4" numFmtId="0" xfId="0" applyAlignment="1" applyFont="1">
      <alignment vertical="bottom"/>
    </xf>
    <xf borderId="0" fillId="2" fontId="4" numFmtId="0" xfId="0" applyFont="1"/>
    <xf borderId="0" fillId="2" fontId="5" numFmtId="164" xfId="0" applyFont="1" applyNumberFormat="1"/>
    <xf borderId="0" fillId="2" fontId="6" numFmtId="0" xfId="0" applyFont="1"/>
    <xf borderId="0" fillId="2" fontId="7" numFmtId="0" xfId="0" applyFont="1"/>
    <xf borderId="1" fillId="0" fontId="8" numFmtId="0" xfId="0" applyAlignment="1" applyBorder="1" applyFont="1">
      <alignment readingOrder="0"/>
    </xf>
    <xf borderId="1" fillId="0" fontId="7" numFmtId="0" xfId="0" applyBorder="1" applyFont="1"/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2" fontId="9" numFmtId="0" xfId="0" applyAlignment="1" applyBorder="1" applyFont="1">
      <alignment vertical="bottom"/>
    </xf>
    <xf borderId="1" fillId="2" fontId="9" numFmtId="0" xfId="0" applyAlignment="1" applyBorder="1" applyFont="1">
      <alignment horizontal="right" vertical="bottom"/>
    </xf>
    <xf borderId="1" fillId="2" fontId="2" numFmtId="0" xfId="0" applyAlignment="1" applyBorder="1" applyFont="1">
      <alignment readingOrder="0" vertical="bottom"/>
    </xf>
    <xf borderId="0" fillId="2" fontId="2" numFmtId="0" xfId="0" applyFont="1"/>
    <xf borderId="1" fillId="2" fontId="8" numFmtId="165" xfId="0" applyBorder="1" applyFont="1" applyNumberFormat="1"/>
    <xf borderId="1" fillId="2" fontId="8" numFmtId="0" xfId="0" applyBorder="1" applyFont="1"/>
    <xf borderId="1" fillId="2" fontId="8" numFmtId="164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horizontal="right" vertical="bottom"/>
    </xf>
    <xf borderId="1" fillId="2" fontId="10" numFmtId="0" xfId="0" applyAlignment="1" applyBorder="1" applyFont="1">
      <alignment horizontal="right" vertical="bottom"/>
    </xf>
    <xf borderId="1" fillId="2" fontId="11" numFmtId="0" xfId="0" applyAlignment="1" applyBorder="1" applyFont="1">
      <alignment vertical="bottom"/>
    </xf>
    <xf borderId="1" fillId="2" fontId="11" numFmtId="0" xfId="0" applyBorder="1" applyFont="1"/>
    <xf borderId="1" fillId="2" fontId="8" numFmtId="165" xfId="0" applyAlignment="1" applyBorder="1" applyFont="1" applyNumberFormat="1">
      <alignment horizontal="right" vertical="bottom"/>
    </xf>
    <xf borderId="1" fillId="2" fontId="11" numFmtId="1" xfId="0" applyAlignment="1" applyBorder="1" applyFont="1" applyNumberFormat="1">
      <alignment vertical="bottom"/>
    </xf>
    <xf borderId="1" fillId="2" fontId="8" numFmtId="164" xfId="0" applyBorder="1" applyFont="1" applyNumberFormat="1"/>
    <xf borderId="1" fillId="2" fontId="10" numFmtId="0" xfId="0" applyBorder="1" applyFont="1"/>
    <xf borderId="1" fillId="2" fontId="12" numFmtId="164" xfId="0" applyBorder="1" applyFont="1" applyNumberFormat="1"/>
    <xf borderId="1" fillId="2" fontId="12" numFmtId="0" xfId="0" applyBorder="1" applyFont="1"/>
    <xf borderId="1" fillId="2" fontId="8" numFmtId="166" xfId="0" applyAlignment="1" applyBorder="1" applyFont="1" applyNumberFormat="1">
      <alignment vertical="bottom"/>
    </xf>
    <xf borderId="1" fillId="2" fontId="8" numFmtId="166" xfId="0" applyAlignment="1" applyBorder="1" applyFont="1" applyNumberFormat="1">
      <alignment horizontal="right" vertical="bottom"/>
    </xf>
    <xf borderId="0" fillId="2" fontId="6" numFmtId="0" xfId="0" applyAlignment="1" applyFont="1">
      <alignment horizontal="right" vertical="bottom"/>
    </xf>
    <xf borderId="1" fillId="2" fontId="8" numFmtId="0" xfId="0" applyAlignment="1" applyBorder="1" applyFont="1">
      <alignment vertical="bottom"/>
    </xf>
    <xf borderId="0" fillId="2" fontId="13" numFmtId="0" xfId="0" applyFont="1"/>
    <xf borderId="1" fillId="2" fontId="8" numFmtId="164" xfId="0" applyAlignment="1" applyBorder="1" applyFont="1" applyNumberFormat="1">
      <alignment vertical="bottom"/>
    </xf>
    <xf borderId="1" fillId="2" fontId="10" numFmtId="0" xfId="0" applyAlignment="1" applyBorder="1" applyFont="1">
      <alignment vertical="bottom"/>
    </xf>
    <xf borderId="1" fillId="0" fontId="14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2" fontId="8" numFmtId="164" xfId="0" applyAlignment="1" applyBorder="1" applyFont="1" applyNumberFormat="1">
      <alignment readingOrder="0"/>
    </xf>
    <xf borderId="1" fillId="2" fontId="8" numFmtId="0" xfId="0" applyAlignment="1" applyBorder="1" applyFont="1">
      <alignment readingOrder="0"/>
    </xf>
    <xf borderId="1" fillId="2" fontId="11" numFmtId="0" xfId="0" applyAlignment="1" applyBorder="1" applyFont="1">
      <alignment readingOrder="0"/>
    </xf>
    <xf borderId="1" fillId="2" fontId="4" numFmtId="1" xfId="0" applyBorder="1" applyFont="1" applyNumberFormat="1"/>
    <xf borderId="0" fillId="2" fontId="15" numFmtId="0" xfId="0" applyFont="1"/>
    <xf borderId="0" fillId="2" fontId="11" numFmtId="0" xfId="0" applyFont="1"/>
    <xf borderId="0" fillId="2" fontId="2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2" numFmtId="1" xfId="0" applyFont="1" applyNumberFormat="1"/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75"/>
    <col customWidth="1" min="3" max="3" width="12.5"/>
    <col customWidth="1" min="4" max="4" width="18.88"/>
    <col customWidth="1" min="5" max="5" width="13.75"/>
    <col customWidth="1" min="6" max="6" width="12.0"/>
    <col customWidth="1" min="7" max="8" width="13.25"/>
    <col customWidth="1" min="9" max="9" width="7.0"/>
  </cols>
  <sheetData>
    <row r="1" ht="15.75" customHeight="1">
      <c r="A1" s="1"/>
      <c r="B1" s="2"/>
      <c r="C1" s="3"/>
      <c r="D1" s="4"/>
      <c r="E1" s="5"/>
      <c r="F1" s="6"/>
      <c r="G1" s="7"/>
      <c r="H1" s="6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ht="15.75" customHeight="1">
      <c r="A2" s="11" t="s">
        <v>0</v>
      </c>
      <c r="B2" s="12"/>
      <c r="C2" s="12"/>
      <c r="D2" s="12"/>
      <c r="E2" s="12"/>
    </row>
    <row r="3" ht="15.75" customHeight="1">
      <c r="A3" s="13" t="s">
        <v>1</v>
      </c>
      <c r="B3" s="13"/>
      <c r="C3" s="14"/>
      <c r="D3" s="14"/>
      <c r="E3" s="5"/>
      <c r="F3" s="4"/>
      <c r="G3" s="5"/>
      <c r="H3" s="4"/>
      <c r="I3" s="8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13" t="s">
        <v>2</v>
      </c>
      <c r="B4" s="13" t="s">
        <v>2</v>
      </c>
      <c r="C4" s="14" t="s">
        <v>3</v>
      </c>
      <c r="D4" s="14" t="s">
        <v>3</v>
      </c>
      <c r="E4" s="5" t="s">
        <v>2</v>
      </c>
      <c r="F4" s="4" t="s">
        <v>2</v>
      </c>
      <c r="G4" s="5"/>
      <c r="H4" s="4" t="s">
        <v>2</v>
      </c>
      <c r="I4" s="8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15.75" customHeight="1">
      <c r="A5" s="2" t="s">
        <v>4</v>
      </c>
      <c r="B5" s="2" t="s">
        <v>5</v>
      </c>
      <c r="C5" s="15" t="s">
        <v>6</v>
      </c>
      <c r="D5" s="16" t="s">
        <v>7</v>
      </c>
      <c r="E5" s="17" t="s">
        <v>8</v>
      </c>
      <c r="F5" s="15" t="s">
        <v>9</v>
      </c>
      <c r="G5" s="2"/>
      <c r="H5" s="18" t="s">
        <v>10</v>
      </c>
      <c r="I5" s="19"/>
      <c r="J5" s="1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15.75" customHeight="1">
      <c r="A6" s="20"/>
      <c r="B6" s="21"/>
      <c r="C6" s="22">
        <v>43363.0</v>
      </c>
      <c r="D6" s="23">
        <v>3540.0</v>
      </c>
      <c r="E6" s="24"/>
      <c r="F6" s="25"/>
      <c r="G6" s="26"/>
      <c r="H6" s="2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15.75" customHeight="1">
      <c r="A7" s="20">
        <v>43425.0</v>
      </c>
      <c r="B7" s="21">
        <v>8260.0</v>
      </c>
      <c r="C7" s="27">
        <v>43427.0</v>
      </c>
      <c r="D7" s="23" t="s">
        <v>11</v>
      </c>
      <c r="E7" s="24">
        <v>0.0</v>
      </c>
      <c r="F7" s="25">
        <v>0.0</v>
      </c>
      <c r="G7" s="26">
        <v>0.0</v>
      </c>
      <c r="H7" s="25">
        <v>0.0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15.75" customHeight="1">
      <c r="A8" s="21" t="s">
        <v>12</v>
      </c>
      <c r="B8" s="21" t="s">
        <v>13</v>
      </c>
      <c r="C8" s="20">
        <v>43444.0</v>
      </c>
      <c r="D8" s="21">
        <v>14052.0</v>
      </c>
      <c r="E8" s="24">
        <v>0.0</v>
      </c>
      <c r="F8" s="28">
        <f t="shared" ref="F8:F28" si="1">E8*(1+0.12)^((60-G8)/12)</f>
        <v>0</v>
      </c>
      <c r="G8" s="26">
        <v>0.0</v>
      </c>
      <c r="H8" s="28">
        <f t="shared" ref="H8:H28" si="2">G8*(1+0.12)^((60-I8)/12)</f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15.75" customHeight="1">
      <c r="A9" s="29">
        <v>43475.0</v>
      </c>
      <c r="B9" s="21" t="s">
        <v>13</v>
      </c>
      <c r="C9" s="29">
        <v>43475.0</v>
      </c>
      <c r="D9" s="21">
        <v>21243.0</v>
      </c>
      <c r="E9" s="30">
        <v>0.0</v>
      </c>
      <c r="F9" s="28">
        <f t="shared" si="1"/>
        <v>0</v>
      </c>
      <c r="G9" s="26">
        <v>0.0</v>
      </c>
      <c r="H9" s="28">
        <f t="shared" si="2"/>
        <v>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15.75" customHeight="1">
      <c r="A10" s="29">
        <v>43506.0</v>
      </c>
      <c r="B10" s="21" t="s">
        <v>13</v>
      </c>
      <c r="C10" s="29">
        <v>43506.0</v>
      </c>
      <c r="D10" s="21">
        <v>21118.0</v>
      </c>
      <c r="E10" s="24">
        <v>0.0</v>
      </c>
      <c r="F10" s="28">
        <f t="shared" si="1"/>
        <v>0</v>
      </c>
      <c r="G10" s="26">
        <v>0.0</v>
      </c>
      <c r="H10" s="28">
        <f t="shared" si="2"/>
        <v>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15.75" customHeight="1">
      <c r="A11" s="29">
        <v>43534.0</v>
      </c>
      <c r="B11" s="21" t="s">
        <v>13</v>
      </c>
      <c r="C11" s="29">
        <v>43534.0</v>
      </c>
      <c r="D11" s="21">
        <v>20994.0</v>
      </c>
      <c r="E11" s="24">
        <v>0.0</v>
      </c>
      <c r="F11" s="28">
        <f t="shared" si="1"/>
        <v>0</v>
      </c>
      <c r="G11" s="26">
        <v>0.0</v>
      </c>
      <c r="H11" s="28">
        <f t="shared" si="2"/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customHeight="1">
      <c r="A12" s="29">
        <v>43565.0</v>
      </c>
      <c r="B12" s="21" t="s">
        <v>13</v>
      </c>
      <c r="C12" s="29">
        <v>43565.0</v>
      </c>
      <c r="D12" s="21">
        <v>20871.0</v>
      </c>
      <c r="E12" s="24">
        <v>0.0</v>
      </c>
      <c r="F12" s="28">
        <f t="shared" si="1"/>
        <v>0</v>
      </c>
      <c r="G12" s="26">
        <v>0.0</v>
      </c>
      <c r="H12" s="28">
        <f t="shared" si="2"/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ht="15.75" customHeight="1">
      <c r="A13" s="29">
        <v>43595.0</v>
      </c>
      <c r="B13" s="21" t="s">
        <v>13</v>
      </c>
      <c r="C13" s="29">
        <v>43595.0</v>
      </c>
      <c r="D13" s="21">
        <v>20750.0</v>
      </c>
      <c r="E13" s="24">
        <v>0.0</v>
      </c>
      <c r="F13" s="28">
        <f t="shared" si="1"/>
        <v>0</v>
      </c>
      <c r="G13" s="26">
        <v>0.0</v>
      </c>
      <c r="H13" s="28">
        <f t="shared" si="2"/>
        <v>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ht="15.75" customHeight="1">
      <c r="A14" s="29">
        <v>43626.0</v>
      </c>
      <c r="B14" s="21" t="s">
        <v>13</v>
      </c>
      <c r="C14" s="29">
        <v>43626.0</v>
      </c>
      <c r="D14" s="21">
        <v>20630.0</v>
      </c>
      <c r="E14" s="24">
        <v>0.0</v>
      </c>
      <c r="F14" s="28">
        <f t="shared" si="1"/>
        <v>0</v>
      </c>
      <c r="G14" s="26">
        <v>0.0</v>
      </c>
      <c r="H14" s="28">
        <f t="shared" si="2"/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ht="15.75" customHeight="1">
      <c r="A15" s="29">
        <v>43656.0</v>
      </c>
      <c r="B15" s="21" t="s">
        <v>13</v>
      </c>
      <c r="C15" s="29">
        <v>43656.0</v>
      </c>
      <c r="D15" s="21">
        <v>20512.0</v>
      </c>
      <c r="E15" s="24">
        <v>0.0</v>
      </c>
      <c r="F15" s="28">
        <f t="shared" si="1"/>
        <v>0</v>
      </c>
      <c r="G15" s="26">
        <v>0.0</v>
      </c>
      <c r="H15" s="28">
        <f t="shared" si="2"/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ht="15.75" customHeight="1">
      <c r="A16" s="29">
        <v>43687.0</v>
      </c>
      <c r="B16" s="21" t="s">
        <v>13</v>
      </c>
      <c r="C16" s="29">
        <v>43687.0</v>
      </c>
      <c r="D16" s="21">
        <v>20395.0</v>
      </c>
      <c r="E16" s="24">
        <v>0.0</v>
      </c>
      <c r="F16" s="28">
        <f t="shared" si="1"/>
        <v>0</v>
      </c>
      <c r="G16" s="26">
        <v>0.0</v>
      </c>
      <c r="H16" s="28">
        <f t="shared" si="2"/>
        <v>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ht="15.75" customHeight="1">
      <c r="A17" s="29">
        <v>43718.0</v>
      </c>
      <c r="B17" s="21" t="s">
        <v>13</v>
      </c>
      <c r="C17" s="29">
        <v>43718.0</v>
      </c>
      <c r="D17" s="21">
        <v>20279.0</v>
      </c>
      <c r="E17" s="24">
        <v>0.0</v>
      </c>
      <c r="F17" s="28">
        <f t="shared" si="1"/>
        <v>0</v>
      </c>
      <c r="G17" s="26">
        <v>0.0</v>
      </c>
      <c r="H17" s="28">
        <f t="shared" si="2"/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ht="15.75" customHeight="1">
      <c r="A18" s="20">
        <v>43748.0</v>
      </c>
      <c r="B18" s="21" t="s">
        <v>13</v>
      </c>
      <c r="C18" s="20">
        <v>43748.0</v>
      </c>
      <c r="D18" s="21">
        <v>20165.0</v>
      </c>
      <c r="E18" s="24">
        <v>0.0</v>
      </c>
      <c r="F18" s="28">
        <f t="shared" si="1"/>
        <v>0</v>
      </c>
      <c r="G18" s="26">
        <v>0.0</v>
      </c>
      <c r="H18" s="28">
        <f t="shared" si="2"/>
        <v>0</v>
      </c>
      <c r="I18" s="9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ht="15.75" customHeight="1">
      <c r="A19" s="20">
        <v>43779.0</v>
      </c>
      <c r="B19" s="21" t="s">
        <v>13</v>
      </c>
      <c r="C19" s="20">
        <v>43779.0</v>
      </c>
      <c r="D19" s="21">
        <v>20052.0</v>
      </c>
      <c r="E19" s="24">
        <v>0.0</v>
      </c>
      <c r="F19" s="28">
        <f t="shared" si="1"/>
        <v>0</v>
      </c>
      <c r="G19" s="26">
        <v>0.0</v>
      </c>
      <c r="H19" s="28">
        <f t="shared" si="2"/>
        <v>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15.75" customHeight="1">
      <c r="A20" s="20">
        <v>43809.0</v>
      </c>
      <c r="B20" s="21" t="s">
        <v>13</v>
      </c>
      <c r="C20" s="20">
        <v>43809.0</v>
      </c>
      <c r="D20" s="21">
        <v>19922.0</v>
      </c>
      <c r="E20" s="24">
        <v>0.0</v>
      </c>
      <c r="F20" s="28">
        <f t="shared" si="1"/>
        <v>0</v>
      </c>
      <c r="G20" s="26">
        <v>0.0</v>
      </c>
      <c r="H20" s="28">
        <f t="shared" si="2"/>
        <v>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ht="15.75" customHeight="1">
      <c r="A21" s="29">
        <v>43840.0</v>
      </c>
      <c r="B21" s="21" t="s">
        <v>13</v>
      </c>
      <c r="C21" s="29">
        <v>43840.0</v>
      </c>
      <c r="D21" s="21">
        <v>19811.0</v>
      </c>
      <c r="E21" s="24">
        <v>0.0</v>
      </c>
      <c r="F21" s="28">
        <f t="shared" si="1"/>
        <v>0</v>
      </c>
      <c r="G21" s="26">
        <v>0.0</v>
      </c>
      <c r="H21" s="28">
        <f t="shared" si="2"/>
        <v>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ht="15.75" customHeight="1">
      <c r="A22" s="29">
        <v>43871.0</v>
      </c>
      <c r="B22" s="21" t="s">
        <v>13</v>
      </c>
      <c r="C22" s="29">
        <v>43871.0</v>
      </c>
      <c r="D22" s="21">
        <v>19702.0</v>
      </c>
      <c r="E22" s="24">
        <v>0.0</v>
      </c>
      <c r="F22" s="28">
        <f t="shared" si="1"/>
        <v>0</v>
      </c>
      <c r="G22" s="26">
        <v>0.0</v>
      </c>
      <c r="H22" s="28">
        <f t="shared" si="2"/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15.75" customHeight="1">
      <c r="A23" s="29">
        <v>43900.0</v>
      </c>
      <c r="B23" s="21" t="s">
        <v>13</v>
      </c>
      <c r="C23" s="29">
        <v>43900.0</v>
      </c>
      <c r="D23" s="21">
        <v>19594.0</v>
      </c>
      <c r="E23" s="24">
        <v>0.0</v>
      </c>
      <c r="F23" s="28">
        <f t="shared" si="1"/>
        <v>0</v>
      </c>
      <c r="G23" s="26">
        <v>0.0</v>
      </c>
      <c r="H23" s="28">
        <f t="shared" si="2"/>
        <v>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15.75" customHeight="1">
      <c r="A24" s="29">
        <v>43931.0</v>
      </c>
      <c r="B24" s="21" t="s">
        <v>13</v>
      </c>
      <c r="C24" s="29">
        <v>43931.0</v>
      </c>
      <c r="D24" s="21">
        <v>19487.0</v>
      </c>
      <c r="E24" s="24">
        <v>0.0</v>
      </c>
      <c r="F24" s="28">
        <f t="shared" si="1"/>
        <v>0</v>
      </c>
      <c r="G24" s="26">
        <v>0.0</v>
      </c>
      <c r="H24" s="28">
        <f t="shared" si="2"/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15.75" customHeight="1">
      <c r="A25" s="29">
        <v>43961.0</v>
      </c>
      <c r="B25" s="21" t="s">
        <v>13</v>
      </c>
      <c r="C25" s="29">
        <v>43961.0</v>
      </c>
      <c r="D25" s="21">
        <v>19382.0</v>
      </c>
      <c r="E25" s="24">
        <v>0.0</v>
      </c>
      <c r="F25" s="28">
        <f t="shared" si="1"/>
        <v>0</v>
      </c>
      <c r="G25" s="26">
        <v>0.0</v>
      </c>
      <c r="H25" s="28">
        <f t="shared" si="2"/>
        <v>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15.75" customHeight="1">
      <c r="A26" s="29">
        <v>43992.0</v>
      </c>
      <c r="B26" s="21" t="s">
        <v>13</v>
      </c>
      <c r="C26" s="29">
        <v>43992.0</v>
      </c>
      <c r="D26" s="21">
        <v>19277.0</v>
      </c>
      <c r="E26" s="24">
        <v>0.0</v>
      </c>
      <c r="F26" s="28">
        <f t="shared" si="1"/>
        <v>0</v>
      </c>
      <c r="G26" s="26">
        <v>0.0</v>
      </c>
      <c r="H26" s="28">
        <f t="shared" si="2"/>
        <v>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15.75" customHeight="1">
      <c r="A27" s="29">
        <v>44022.0</v>
      </c>
      <c r="B27" s="21" t="s">
        <v>13</v>
      </c>
      <c r="C27" s="29">
        <v>44022.0</v>
      </c>
      <c r="D27" s="21">
        <v>19174.0</v>
      </c>
      <c r="E27" s="24">
        <v>0.0</v>
      </c>
      <c r="F27" s="28">
        <f t="shared" si="1"/>
        <v>0</v>
      </c>
      <c r="G27" s="26">
        <v>0.0</v>
      </c>
      <c r="H27" s="28">
        <f t="shared" si="2"/>
        <v>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15.75" customHeight="1">
      <c r="A28" s="29">
        <v>44053.0</v>
      </c>
      <c r="B28" s="21" t="s">
        <v>13</v>
      </c>
      <c r="C28" s="29">
        <v>44053.0</v>
      </c>
      <c r="D28" s="21">
        <v>19072.0</v>
      </c>
      <c r="E28" s="24">
        <v>0.0</v>
      </c>
      <c r="F28" s="28">
        <f t="shared" si="1"/>
        <v>0</v>
      </c>
      <c r="G28" s="26">
        <v>0.0</v>
      </c>
      <c r="H28" s="28">
        <f t="shared" si="2"/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15.75" customHeight="1">
      <c r="A29" s="29">
        <v>44084.0</v>
      </c>
      <c r="B29" s="21" t="s">
        <v>13</v>
      </c>
      <c r="C29" s="29">
        <v>44084.0</v>
      </c>
      <c r="D29" s="21">
        <v>18970.0</v>
      </c>
      <c r="E29" s="24">
        <v>0.0</v>
      </c>
      <c r="F29" s="28">
        <f>E29*(1+0.12)^(58/12)</f>
        <v>0</v>
      </c>
      <c r="G29" s="26">
        <v>0.0</v>
      </c>
      <c r="H29" s="28">
        <f>G29*(1+0.12)^(58/12)</f>
        <v>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15.75" customHeight="1">
      <c r="A30" s="20">
        <v>44114.0</v>
      </c>
      <c r="B30" s="21" t="s">
        <v>13</v>
      </c>
      <c r="C30" s="20">
        <v>44114.0</v>
      </c>
      <c r="D30" s="21">
        <v>18870.0</v>
      </c>
      <c r="E30" s="24">
        <v>0.0</v>
      </c>
      <c r="F30" s="28">
        <f t="shared" ref="F30:F31" si="3">E30*(1+0.12)^((60-G30)/12)</f>
        <v>0</v>
      </c>
      <c r="G30" s="26">
        <v>0.0</v>
      </c>
      <c r="H30" s="28">
        <f t="shared" ref="H30:H31" si="4">G30*(1+0.12)^((60-I30)/12)</f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15.75" customHeight="1">
      <c r="A31" s="20">
        <v>44145.0</v>
      </c>
      <c r="B31" s="21" t="s">
        <v>13</v>
      </c>
      <c r="C31" s="20">
        <v>44145.0</v>
      </c>
      <c r="D31" s="21">
        <v>18771.0</v>
      </c>
      <c r="E31" s="24">
        <v>0.0</v>
      </c>
      <c r="F31" s="28">
        <f t="shared" si="3"/>
        <v>0</v>
      </c>
      <c r="G31" s="26">
        <v>0.0</v>
      </c>
      <c r="H31" s="28">
        <f t="shared" si="4"/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15.75" customHeight="1">
      <c r="A32" s="20">
        <v>44175.0</v>
      </c>
      <c r="B32" s="21">
        <v>0.0</v>
      </c>
      <c r="C32" s="20">
        <v>44175.0</v>
      </c>
      <c r="D32" s="21">
        <v>20725.0</v>
      </c>
      <c r="E32" s="24">
        <f t="shared" ref="E32:E68" si="5">SUM(D32,-B32)</f>
        <v>20725</v>
      </c>
      <c r="F32" s="28">
        <f t="shared" ref="F32:F42" si="6">E32*(1+0.12)^((69-G32)/12)</f>
        <v>31700.2089</v>
      </c>
      <c r="G32" s="26">
        <v>24.0</v>
      </c>
      <c r="H32" s="28">
        <f t="shared" ref="H32:H83" si="7">E32*(1+0.1)^((69-G32)/12)</f>
        <v>29629.00782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15.75" customHeight="1">
      <c r="A33" s="29">
        <v>44206.0</v>
      </c>
      <c r="B33" s="21">
        <v>0.0</v>
      </c>
      <c r="C33" s="22">
        <v>44207.0</v>
      </c>
      <c r="D33" s="23">
        <v>20725.0</v>
      </c>
      <c r="E33" s="24">
        <f t="shared" si="5"/>
        <v>20725</v>
      </c>
      <c r="F33" s="28">
        <f t="shared" si="6"/>
        <v>31402.23956</v>
      </c>
      <c r="G33" s="26">
        <v>25.0</v>
      </c>
      <c r="H33" s="28">
        <f t="shared" si="7"/>
        <v>29394.61106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15.75" customHeight="1">
      <c r="A34" s="29">
        <v>44237.0</v>
      </c>
      <c r="B34" s="21">
        <v>0.0</v>
      </c>
      <c r="C34" s="22">
        <v>44237.0</v>
      </c>
      <c r="D34" s="23">
        <v>20725.0</v>
      </c>
      <c r="E34" s="24">
        <f t="shared" si="5"/>
        <v>20725</v>
      </c>
      <c r="F34" s="28">
        <f t="shared" si="6"/>
        <v>31107.071</v>
      </c>
      <c r="G34" s="26">
        <v>26.0</v>
      </c>
      <c r="H34" s="28">
        <f t="shared" si="7"/>
        <v>29162.06863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15.75" customHeight="1">
      <c r="A35" s="29">
        <v>44265.0</v>
      </c>
      <c r="B35" s="21">
        <v>0.0</v>
      </c>
      <c r="C35" s="22">
        <v>44265.0</v>
      </c>
      <c r="D35" s="23">
        <v>20725.0</v>
      </c>
      <c r="E35" s="24">
        <f t="shared" si="5"/>
        <v>20725</v>
      </c>
      <c r="F35" s="28">
        <f t="shared" si="6"/>
        <v>30814.67691</v>
      </c>
      <c r="G35" s="26">
        <v>27.0</v>
      </c>
      <c r="H35" s="28">
        <f t="shared" si="7"/>
        <v>28931.36586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15.75" customHeight="1">
      <c r="A36" s="31">
        <v>44298.0</v>
      </c>
      <c r="B36" s="32">
        <v>0.0</v>
      </c>
      <c r="C36" s="23" t="s">
        <v>14</v>
      </c>
      <c r="D36" s="23">
        <v>21315.0</v>
      </c>
      <c r="E36" s="24">
        <f t="shared" si="5"/>
        <v>21315</v>
      </c>
      <c r="F36" s="28">
        <f t="shared" si="6"/>
        <v>31394.01883</v>
      </c>
      <c r="G36" s="26">
        <v>28.0</v>
      </c>
      <c r="H36" s="28">
        <f t="shared" si="7"/>
        <v>29519.59159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15.75" customHeight="1">
      <c r="A37" s="29">
        <v>44326.0</v>
      </c>
      <c r="B37" s="21">
        <v>0.0</v>
      </c>
      <c r="C37" s="22">
        <v>44327.0</v>
      </c>
      <c r="D37" s="23">
        <v>20725.0</v>
      </c>
      <c r="E37" s="24">
        <f t="shared" si="5"/>
        <v>20725</v>
      </c>
      <c r="F37" s="28">
        <f t="shared" si="6"/>
        <v>30238.10807</v>
      </c>
      <c r="G37" s="26">
        <v>29.0</v>
      </c>
      <c r="H37" s="28">
        <f t="shared" si="7"/>
        <v>28475.42118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15.75" customHeight="1">
      <c r="A38" s="29">
        <v>44357.0</v>
      </c>
      <c r="B38" s="21">
        <v>0.0</v>
      </c>
      <c r="C38" s="22">
        <v>44357.0</v>
      </c>
      <c r="D38" s="23">
        <v>20725.0</v>
      </c>
      <c r="E38" s="24">
        <f t="shared" si="5"/>
        <v>20725</v>
      </c>
      <c r="F38" s="28">
        <f t="shared" si="6"/>
        <v>29953.88188</v>
      </c>
      <c r="G38" s="26">
        <v>30.0</v>
      </c>
      <c r="H38" s="28">
        <f t="shared" si="7"/>
        <v>28250.15051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15.75" customHeight="1">
      <c r="A39" s="29">
        <v>44389.0</v>
      </c>
      <c r="B39" s="21">
        <v>0.0</v>
      </c>
      <c r="C39" s="22">
        <v>44389.0</v>
      </c>
      <c r="D39" s="23">
        <v>20725.0</v>
      </c>
      <c r="E39" s="24">
        <f t="shared" si="5"/>
        <v>20725</v>
      </c>
      <c r="F39" s="28">
        <f t="shared" si="6"/>
        <v>29672.32731</v>
      </c>
      <c r="G39" s="26">
        <v>31.0</v>
      </c>
      <c r="H39" s="28">
        <f t="shared" si="7"/>
        <v>28026.66197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15.75" customHeight="1">
      <c r="A40" s="29">
        <v>44418.0</v>
      </c>
      <c r="B40" s="21">
        <v>0.0</v>
      </c>
      <c r="C40" s="22">
        <v>44418.0</v>
      </c>
      <c r="D40" s="23">
        <v>20725.0</v>
      </c>
      <c r="E40" s="24">
        <f t="shared" si="5"/>
        <v>20725</v>
      </c>
      <c r="F40" s="28">
        <f t="shared" si="6"/>
        <v>29393.41924</v>
      </c>
      <c r="G40" s="26">
        <v>32.0</v>
      </c>
      <c r="H40" s="28">
        <f t="shared" si="7"/>
        <v>27804.94146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15.75" customHeight="1">
      <c r="A41" s="29">
        <v>44449.0</v>
      </c>
      <c r="B41" s="21">
        <v>0.0</v>
      </c>
      <c r="C41" s="22">
        <v>44449.0</v>
      </c>
      <c r="D41" s="23">
        <v>20725.0</v>
      </c>
      <c r="E41" s="24">
        <f t="shared" si="5"/>
        <v>20725</v>
      </c>
      <c r="F41" s="28">
        <f t="shared" si="6"/>
        <v>29117.1328</v>
      </c>
      <c r="G41" s="26">
        <v>33.0</v>
      </c>
      <c r="H41" s="28">
        <f t="shared" si="7"/>
        <v>27584.975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15.75" customHeight="1">
      <c r="A42" s="20">
        <v>44480.0</v>
      </c>
      <c r="B42" s="21">
        <v>0.0</v>
      </c>
      <c r="C42" s="22">
        <v>44479.0</v>
      </c>
      <c r="D42" s="23">
        <v>20725.0</v>
      </c>
      <c r="E42" s="24">
        <f t="shared" si="5"/>
        <v>20725</v>
      </c>
      <c r="F42" s="28">
        <f t="shared" si="6"/>
        <v>28843.44334</v>
      </c>
      <c r="G42" s="26">
        <v>34.0</v>
      </c>
      <c r="H42" s="28">
        <f t="shared" si="7"/>
        <v>27366.7487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15.75" customHeight="1">
      <c r="A43" s="20">
        <v>44510.0</v>
      </c>
      <c r="B43" s="21">
        <v>0.0</v>
      </c>
      <c r="C43" s="33">
        <v>44501.0</v>
      </c>
      <c r="D43" s="21">
        <v>0.0</v>
      </c>
      <c r="E43" s="24">
        <f t="shared" si="5"/>
        <v>0</v>
      </c>
      <c r="F43" s="28">
        <f t="shared" ref="F43:F44" si="8">E43*(1+0.12)^((60-G43)/12)</f>
        <v>0</v>
      </c>
      <c r="G43" s="26">
        <v>35.0</v>
      </c>
      <c r="H43" s="28">
        <f t="shared" si="7"/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15.75" customHeight="1">
      <c r="A44" s="20">
        <v>44548.0</v>
      </c>
      <c r="B44" s="21">
        <v>0.0</v>
      </c>
      <c r="C44" s="34">
        <v>44531.0</v>
      </c>
      <c r="D44" s="21">
        <v>0.0</v>
      </c>
      <c r="E44" s="24">
        <f t="shared" si="5"/>
        <v>0</v>
      </c>
      <c r="F44" s="28">
        <f t="shared" si="8"/>
        <v>0</v>
      </c>
      <c r="G44" s="26">
        <v>36.0</v>
      </c>
      <c r="H44" s="28">
        <f t="shared" si="7"/>
        <v>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15.75" customHeight="1">
      <c r="A45" s="29">
        <v>44571.0</v>
      </c>
      <c r="B45" s="21">
        <v>0.0</v>
      </c>
      <c r="C45" s="22">
        <v>44562.0</v>
      </c>
      <c r="D45" s="23">
        <v>67500.0</v>
      </c>
      <c r="E45" s="24">
        <f t="shared" si="5"/>
        <v>67500</v>
      </c>
      <c r="F45" s="28">
        <f t="shared" ref="F45:F47" si="9">E45*(1+0.12)^((69-G45)/12)</f>
        <v>91317.04162</v>
      </c>
      <c r="G45" s="26">
        <v>37.0</v>
      </c>
      <c r="H45" s="28">
        <f t="shared" si="7"/>
        <v>87033.06269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15.75" customHeight="1">
      <c r="A46" s="29">
        <v>44608.0</v>
      </c>
      <c r="B46" s="21">
        <v>20000.0</v>
      </c>
      <c r="C46" s="23" t="s">
        <v>15</v>
      </c>
      <c r="D46" s="23">
        <v>31638.0</v>
      </c>
      <c r="E46" s="24">
        <f t="shared" si="5"/>
        <v>11638</v>
      </c>
      <c r="F46" s="28">
        <f t="shared" si="9"/>
        <v>15596.41962</v>
      </c>
      <c r="G46" s="26">
        <v>38.0</v>
      </c>
      <c r="H46" s="28">
        <f t="shared" si="7"/>
        <v>14887.07774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15.75" customHeight="1">
      <c r="A47" s="29">
        <v>44630.0</v>
      </c>
      <c r="B47" s="21">
        <v>0.0</v>
      </c>
      <c r="C47" s="23" t="s">
        <v>16</v>
      </c>
      <c r="D47" s="23">
        <v>20725.0</v>
      </c>
      <c r="E47" s="24">
        <f t="shared" si="5"/>
        <v>20725</v>
      </c>
      <c r="F47" s="28">
        <f t="shared" si="9"/>
        <v>27513.10439</v>
      </c>
      <c r="G47" s="26">
        <v>39.0</v>
      </c>
      <c r="H47" s="28">
        <f t="shared" si="7"/>
        <v>26301.24169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15.75" customHeight="1">
      <c r="A48" s="29">
        <v>44659.0</v>
      </c>
      <c r="B48" s="21">
        <v>20725.0</v>
      </c>
      <c r="C48" s="22">
        <v>44661.0</v>
      </c>
      <c r="D48" s="23">
        <v>20725.0</v>
      </c>
      <c r="E48" s="24">
        <f t="shared" si="5"/>
        <v>0</v>
      </c>
      <c r="F48" s="28">
        <f t="shared" ref="F48:F51" si="10">E48*(1+0.12)^((60-G48)/12)</f>
        <v>0</v>
      </c>
      <c r="G48" s="26">
        <v>40.0</v>
      </c>
      <c r="H48" s="28">
        <f t="shared" si="7"/>
        <v>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15.75" customHeight="1">
      <c r="A49" s="29">
        <v>44690.0</v>
      </c>
      <c r="B49" s="21">
        <v>20725.0</v>
      </c>
      <c r="C49" s="22">
        <v>44691.0</v>
      </c>
      <c r="D49" s="23">
        <v>20725.0</v>
      </c>
      <c r="E49" s="24">
        <f t="shared" si="5"/>
        <v>0</v>
      </c>
      <c r="F49" s="28">
        <f t="shared" si="10"/>
        <v>0</v>
      </c>
      <c r="G49" s="26">
        <v>41.0</v>
      </c>
      <c r="H49" s="28">
        <f t="shared" si="7"/>
        <v>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15.75" customHeight="1">
      <c r="A50" s="29">
        <v>44725.0</v>
      </c>
      <c r="B50" s="21">
        <v>20725.0</v>
      </c>
      <c r="C50" s="29">
        <v>44722.0</v>
      </c>
      <c r="D50" s="21">
        <v>20725.0</v>
      </c>
      <c r="E50" s="24">
        <f t="shared" si="5"/>
        <v>0</v>
      </c>
      <c r="F50" s="28">
        <f t="shared" si="10"/>
        <v>0</v>
      </c>
      <c r="G50" s="26">
        <v>42.0</v>
      </c>
      <c r="H50" s="28">
        <f t="shared" si="7"/>
        <v>0</v>
      </c>
      <c r="I50" s="10"/>
      <c r="J50" s="35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15.75" customHeight="1">
      <c r="A51" s="29">
        <v>44754.0</v>
      </c>
      <c r="B51" s="21">
        <v>21500.0</v>
      </c>
      <c r="C51" s="22">
        <v>44752.0</v>
      </c>
      <c r="D51" s="36">
        <v>21500.0</v>
      </c>
      <c r="E51" s="24">
        <f t="shared" si="5"/>
        <v>0</v>
      </c>
      <c r="F51" s="28">
        <f t="shared" si="10"/>
        <v>0</v>
      </c>
      <c r="G51" s="26">
        <v>43.0</v>
      </c>
      <c r="H51" s="28">
        <f t="shared" si="7"/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15.75" customHeight="1">
      <c r="A52" s="29">
        <v>44782.0</v>
      </c>
      <c r="B52" s="21">
        <v>21500.0</v>
      </c>
      <c r="C52" s="22">
        <v>44783.0</v>
      </c>
      <c r="D52" s="23">
        <v>22608.0</v>
      </c>
      <c r="E52" s="24">
        <f t="shared" si="5"/>
        <v>1108</v>
      </c>
      <c r="F52" s="28">
        <f>E52*(1+0.12)^((69-G52)/12)</f>
        <v>1403.063438</v>
      </c>
      <c r="G52" s="26">
        <v>44.0</v>
      </c>
      <c r="H52" s="28">
        <f t="shared" si="7"/>
        <v>1351.370771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15.75" customHeight="1">
      <c r="A53" s="29">
        <v>44816.0</v>
      </c>
      <c r="B53" s="21">
        <v>22608.0</v>
      </c>
      <c r="C53" s="22">
        <v>44824.0</v>
      </c>
      <c r="D53" s="21">
        <v>22608.0</v>
      </c>
      <c r="E53" s="24">
        <f t="shared" si="5"/>
        <v>0</v>
      </c>
      <c r="F53" s="28">
        <f>E53*(1+0.12)^((60-G53)/12)</f>
        <v>0</v>
      </c>
      <c r="G53" s="26">
        <v>45.0</v>
      </c>
      <c r="H53" s="28">
        <f t="shared" si="7"/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15.75" customHeight="1">
      <c r="A54" s="20">
        <v>44844.0</v>
      </c>
      <c r="B54" s="21">
        <v>22608.0</v>
      </c>
      <c r="C54" s="27">
        <v>44844.0</v>
      </c>
      <c r="D54" s="23">
        <v>23716.0</v>
      </c>
      <c r="E54" s="24">
        <f t="shared" si="5"/>
        <v>1108</v>
      </c>
      <c r="F54" s="28">
        <f t="shared" ref="F54:F55" si="11">E54*(1+0.12)^((69-G54)/12)</f>
        <v>1376.810926</v>
      </c>
      <c r="G54" s="26">
        <v>46.0</v>
      </c>
      <c r="H54" s="28">
        <f t="shared" si="7"/>
        <v>1330.073805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15.75" customHeight="1">
      <c r="A55" s="20">
        <v>44875.0</v>
      </c>
      <c r="B55" s="21">
        <v>22608.0</v>
      </c>
      <c r="C55" s="27">
        <v>44877.0</v>
      </c>
      <c r="D55" s="23">
        <v>25575.0</v>
      </c>
      <c r="E55" s="24">
        <f t="shared" si="5"/>
        <v>2967</v>
      </c>
      <c r="F55" s="28">
        <f t="shared" si="11"/>
        <v>3652.166663</v>
      </c>
      <c r="G55" s="26">
        <v>47.0</v>
      </c>
      <c r="H55" s="28">
        <f t="shared" si="7"/>
        <v>3533.49219</v>
      </c>
      <c r="I55" s="37"/>
      <c r="J55" s="3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15.75" customHeight="1">
      <c r="A56" s="31">
        <v>44897.0</v>
      </c>
      <c r="B56" s="32">
        <v>24825.0</v>
      </c>
      <c r="C56" s="27">
        <v>44905.0</v>
      </c>
      <c r="D56" s="23">
        <v>24825.0</v>
      </c>
      <c r="E56" s="24">
        <f t="shared" si="5"/>
        <v>0</v>
      </c>
      <c r="F56" s="28">
        <f>E56*(1+0.12)^((60-G56)/12)</f>
        <v>0</v>
      </c>
      <c r="G56" s="26">
        <v>48.0</v>
      </c>
      <c r="H56" s="28">
        <f t="shared" si="7"/>
        <v>0</v>
      </c>
      <c r="I56" s="37"/>
      <c r="J56" s="3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15.75" customHeight="1">
      <c r="A57" s="29">
        <v>44932.0</v>
      </c>
      <c r="B57" s="21">
        <v>24825.0</v>
      </c>
      <c r="C57" s="38">
        <v>44936.0</v>
      </c>
      <c r="D57" s="36">
        <v>25600.0</v>
      </c>
      <c r="E57" s="24">
        <f t="shared" si="5"/>
        <v>775</v>
      </c>
      <c r="F57" s="28">
        <f t="shared" ref="F57:F83" si="12">E57*(1+0.12)^((69-G57)/12)</f>
        <v>936.1204663</v>
      </c>
      <c r="G57" s="26">
        <v>49.0</v>
      </c>
      <c r="H57" s="28">
        <f t="shared" si="7"/>
        <v>908.4259068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15.75" customHeight="1">
      <c r="A58" s="29">
        <v>44966.0</v>
      </c>
      <c r="B58" s="21">
        <v>24825.0</v>
      </c>
      <c r="C58" s="22">
        <v>44967.0</v>
      </c>
      <c r="D58" s="23">
        <v>25600.0</v>
      </c>
      <c r="E58" s="24">
        <f t="shared" si="5"/>
        <v>775</v>
      </c>
      <c r="F58" s="28">
        <f t="shared" si="12"/>
        <v>927.3213065</v>
      </c>
      <c r="G58" s="26">
        <v>50.0</v>
      </c>
      <c r="H58" s="28">
        <f t="shared" si="7"/>
        <v>901.2392981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15.75" customHeight="1">
      <c r="A59" s="29">
        <v>44998.0</v>
      </c>
      <c r="B59" s="21">
        <v>5000.0</v>
      </c>
      <c r="C59" s="22">
        <v>44995.0</v>
      </c>
      <c r="D59" s="23">
        <v>25600.0</v>
      </c>
      <c r="E59" s="24">
        <f t="shared" si="5"/>
        <v>20600</v>
      </c>
      <c r="F59" s="28">
        <f t="shared" si="12"/>
        <v>24417.1097</v>
      </c>
      <c r="G59" s="26">
        <v>51.0</v>
      </c>
      <c r="H59" s="28">
        <f t="shared" si="7"/>
        <v>23766.0085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15.75" customHeight="1">
      <c r="A60" s="29">
        <v>45026.0</v>
      </c>
      <c r="B60" s="21">
        <v>0.0</v>
      </c>
      <c r="C60" s="22">
        <v>45026.0</v>
      </c>
      <c r="D60" s="23">
        <v>25600.0</v>
      </c>
      <c r="E60" s="24">
        <f t="shared" si="5"/>
        <v>25600</v>
      </c>
      <c r="F60" s="28">
        <f t="shared" si="12"/>
        <v>30058.37494</v>
      </c>
      <c r="G60" s="26">
        <v>52.0</v>
      </c>
      <c r="H60" s="28">
        <f t="shared" si="7"/>
        <v>29300.8084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15.75" customHeight="1">
      <c r="A61" s="29">
        <v>45056.0</v>
      </c>
      <c r="B61" s="21">
        <v>0.0</v>
      </c>
      <c r="C61" s="23" t="s">
        <v>17</v>
      </c>
      <c r="D61" s="36">
        <v>29502.0</v>
      </c>
      <c r="E61" s="24">
        <f t="shared" si="5"/>
        <v>29502</v>
      </c>
      <c r="F61" s="28">
        <f t="shared" si="12"/>
        <v>34314.32726</v>
      </c>
      <c r="G61" s="26">
        <v>53.0</v>
      </c>
      <c r="H61" s="28">
        <f t="shared" si="7"/>
        <v>33499.76076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15.75" customHeight="1">
      <c r="A62" s="29">
        <v>45087.0</v>
      </c>
      <c r="B62" s="21">
        <v>0.0</v>
      </c>
      <c r="C62" s="22">
        <v>45087.0</v>
      </c>
      <c r="D62" s="23">
        <v>28457.0</v>
      </c>
      <c r="E62" s="24">
        <f t="shared" si="5"/>
        <v>28457</v>
      </c>
      <c r="F62" s="28">
        <f t="shared" si="12"/>
        <v>32787.75205</v>
      </c>
      <c r="G62" s="26">
        <v>54.0</v>
      </c>
      <c r="H62" s="28">
        <f t="shared" si="7"/>
        <v>32057.52358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15.75" customHeight="1">
      <c r="A63" s="29">
        <v>45117.0</v>
      </c>
      <c r="B63" s="21">
        <v>0.0</v>
      </c>
      <c r="C63" s="22">
        <v>45117.0</v>
      </c>
      <c r="D63" s="23">
        <v>28457.0</v>
      </c>
      <c r="E63" s="24">
        <f t="shared" si="5"/>
        <v>28457</v>
      </c>
      <c r="F63" s="28">
        <f t="shared" si="12"/>
        <v>32479.56023</v>
      </c>
      <c r="G63" s="26">
        <v>55.0</v>
      </c>
      <c r="H63" s="28">
        <f t="shared" si="7"/>
        <v>31803.91469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15.75" customHeight="1">
      <c r="A64" s="29">
        <v>45148.0</v>
      </c>
      <c r="B64" s="21">
        <v>0.0</v>
      </c>
      <c r="C64" s="22">
        <v>45148.0</v>
      </c>
      <c r="D64" s="23">
        <v>28457.0</v>
      </c>
      <c r="E64" s="24">
        <f t="shared" si="5"/>
        <v>28457</v>
      </c>
      <c r="F64" s="28">
        <f t="shared" si="12"/>
        <v>32174.26529</v>
      </c>
      <c r="G64" s="26">
        <v>56.0</v>
      </c>
      <c r="H64" s="28">
        <f t="shared" si="7"/>
        <v>31552.31213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15.75" customHeight="1">
      <c r="A65" s="29">
        <v>45179.0</v>
      </c>
      <c r="B65" s="21">
        <v>0.0</v>
      </c>
      <c r="C65" s="22">
        <v>45179.0</v>
      </c>
      <c r="D65" s="23">
        <v>28457.0</v>
      </c>
      <c r="E65" s="24">
        <f t="shared" si="5"/>
        <v>28457</v>
      </c>
      <c r="F65" s="28">
        <f t="shared" si="12"/>
        <v>31871.84</v>
      </c>
      <c r="G65" s="26">
        <v>57.0</v>
      </c>
      <c r="H65" s="28">
        <f t="shared" si="7"/>
        <v>31302.7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15.75" customHeight="1">
      <c r="A66" s="20">
        <v>45209.0</v>
      </c>
      <c r="B66" s="21">
        <v>0.0</v>
      </c>
      <c r="C66" s="27">
        <v>45209.0</v>
      </c>
      <c r="D66" s="23">
        <v>28457.0</v>
      </c>
      <c r="E66" s="24">
        <f t="shared" si="5"/>
        <v>28457</v>
      </c>
      <c r="F66" s="28">
        <f t="shared" si="12"/>
        <v>31572.25739</v>
      </c>
      <c r="G66" s="26">
        <v>58.0</v>
      </c>
      <c r="H66" s="28">
        <f t="shared" si="7"/>
        <v>31055.06257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15.75" customHeight="1">
      <c r="A67" s="20">
        <v>45240.0</v>
      </c>
      <c r="B67" s="21">
        <v>0.0</v>
      </c>
      <c r="C67" s="27">
        <v>45240.0</v>
      </c>
      <c r="D67" s="23">
        <v>28457.0</v>
      </c>
      <c r="E67" s="24">
        <f t="shared" si="5"/>
        <v>28457</v>
      </c>
      <c r="F67" s="28">
        <f t="shared" si="12"/>
        <v>31275.49073</v>
      </c>
      <c r="G67" s="26">
        <v>59.0</v>
      </c>
      <c r="H67" s="28">
        <f t="shared" si="7"/>
        <v>30809.38421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15.75" customHeight="1">
      <c r="A68" s="20">
        <v>45270.0</v>
      </c>
      <c r="B68" s="21">
        <v>0.0</v>
      </c>
      <c r="C68" s="20">
        <v>45270.0</v>
      </c>
      <c r="D68" s="23">
        <v>28457.0</v>
      </c>
      <c r="E68" s="24">
        <f t="shared" si="5"/>
        <v>28457</v>
      </c>
      <c r="F68" s="28">
        <f t="shared" si="12"/>
        <v>30981.51356</v>
      </c>
      <c r="G68" s="26">
        <v>60.0</v>
      </c>
      <c r="H68" s="28">
        <f t="shared" si="7"/>
        <v>30565.64943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15.75" customHeight="1">
      <c r="A69" s="29">
        <v>45301.0</v>
      </c>
      <c r="B69" s="21">
        <v>0.0</v>
      </c>
      <c r="C69" s="29">
        <v>45301.0</v>
      </c>
      <c r="D69" s="21">
        <v>28457.0</v>
      </c>
      <c r="E69" s="39">
        <v>28457.0</v>
      </c>
      <c r="F69" s="28">
        <f t="shared" si="12"/>
        <v>30690.29967</v>
      </c>
      <c r="G69" s="26">
        <v>61.0</v>
      </c>
      <c r="H69" s="28">
        <f t="shared" si="7"/>
        <v>30323.84285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15.75" customHeight="1">
      <c r="A70" s="29">
        <v>45332.0</v>
      </c>
      <c r="B70" s="21">
        <v>0.0</v>
      </c>
      <c r="C70" s="29">
        <v>45332.0</v>
      </c>
      <c r="D70" s="21">
        <v>28457.0</v>
      </c>
      <c r="E70" s="39">
        <v>28457.0</v>
      </c>
      <c r="F70" s="28">
        <f t="shared" si="12"/>
        <v>30401.82306</v>
      </c>
      <c r="G70" s="26">
        <v>62.0</v>
      </c>
      <c r="H70" s="28">
        <f t="shared" si="7"/>
        <v>30083.94922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15.75" customHeight="1">
      <c r="A71" s="29">
        <v>45361.0</v>
      </c>
      <c r="B71" s="21">
        <v>0.0</v>
      </c>
      <c r="C71" s="29">
        <v>45361.0</v>
      </c>
      <c r="D71" s="21">
        <v>28457.0</v>
      </c>
      <c r="E71" s="39">
        <v>28457.0</v>
      </c>
      <c r="F71" s="28">
        <f t="shared" si="12"/>
        <v>30116.05802</v>
      </c>
      <c r="G71" s="26">
        <v>63.0</v>
      </c>
      <c r="H71" s="28">
        <f t="shared" si="7"/>
        <v>29845.95339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15.75" customHeight="1">
      <c r="A72" s="29">
        <v>45392.0</v>
      </c>
      <c r="B72" s="21">
        <v>0.0</v>
      </c>
      <c r="C72" s="29">
        <v>45392.0</v>
      </c>
      <c r="D72" s="21">
        <v>28457.0</v>
      </c>
      <c r="E72" s="39">
        <v>28457.0</v>
      </c>
      <c r="F72" s="28">
        <f t="shared" si="12"/>
        <v>29832.97906</v>
      </c>
      <c r="G72" s="26">
        <v>64.0</v>
      </c>
      <c r="H72" s="28">
        <f t="shared" si="7"/>
        <v>29609.84037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15.75" customHeight="1">
      <c r="A73" s="29">
        <v>45422.0</v>
      </c>
      <c r="B73" s="21">
        <v>0.0</v>
      </c>
      <c r="C73" s="29">
        <v>45422.0</v>
      </c>
      <c r="D73" s="21">
        <v>28457.0</v>
      </c>
      <c r="E73" s="39">
        <v>28457.0</v>
      </c>
      <c r="F73" s="28">
        <f t="shared" si="12"/>
        <v>29552.56093</v>
      </c>
      <c r="G73" s="26">
        <v>65.0</v>
      </c>
      <c r="H73" s="28">
        <f t="shared" si="7"/>
        <v>29375.59525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15.75" customHeight="1">
      <c r="A74" s="29">
        <v>45453.0</v>
      </c>
      <c r="B74" s="21">
        <v>0.0</v>
      </c>
      <c r="C74" s="29">
        <v>45453.0</v>
      </c>
      <c r="D74" s="21">
        <v>28457.0</v>
      </c>
      <c r="E74" s="39">
        <v>28457.0</v>
      </c>
      <c r="F74" s="28">
        <f t="shared" si="12"/>
        <v>29274.77862</v>
      </c>
      <c r="G74" s="26">
        <v>66.0</v>
      </c>
      <c r="H74" s="28">
        <f t="shared" si="7"/>
        <v>29143.20325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15.75" customHeight="1">
      <c r="A75" s="29">
        <v>45483.0</v>
      </c>
      <c r="B75" s="21">
        <v>0.0</v>
      </c>
      <c r="C75" s="29">
        <v>45483.0</v>
      </c>
      <c r="D75" s="21">
        <v>28457.0</v>
      </c>
      <c r="E75" s="39">
        <v>28457.0</v>
      </c>
      <c r="F75" s="28">
        <f t="shared" si="12"/>
        <v>28999.60735</v>
      </c>
      <c r="G75" s="26">
        <v>67.0</v>
      </c>
      <c r="H75" s="28">
        <f t="shared" si="7"/>
        <v>28912.64972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15.75" customHeight="1">
      <c r="A76" s="29">
        <v>45514.0</v>
      </c>
      <c r="B76" s="21">
        <v>0.0</v>
      </c>
      <c r="C76" s="29">
        <v>45514.0</v>
      </c>
      <c r="D76" s="21">
        <v>28457.0</v>
      </c>
      <c r="E76" s="39">
        <v>28457.0</v>
      </c>
      <c r="F76" s="28">
        <f t="shared" si="12"/>
        <v>28727.02258</v>
      </c>
      <c r="G76" s="26">
        <v>68.0</v>
      </c>
      <c r="H76" s="28">
        <f t="shared" si="7"/>
        <v>28683.92011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15.75" customHeight="1">
      <c r="A77" s="29">
        <v>45545.0</v>
      </c>
      <c r="B77" s="21">
        <v>0.0</v>
      </c>
      <c r="C77" s="29">
        <v>45545.0</v>
      </c>
      <c r="D77" s="21">
        <v>28457.0</v>
      </c>
      <c r="E77" s="39">
        <v>28457.0</v>
      </c>
      <c r="F77" s="28">
        <f t="shared" si="12"/>
        <v>28457</v>
      </c>
      <c r="G77" s="26">
        <v>69.0</v>
      </c>
      <c r="H77" s="28">
        <f t="shared" si="7"/>
        <v>28457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15.75" customHeight="1">
      <c r="A78" s="29">
        <v>45575.0</v>
      </c>
      <c r="B78" s="21">
        <v>0.0</v>
      </c>
      <c r="C78" s="29">
        <v>45575.0</v>
      </c>
      <c r="D78" s="21">
        <v>32139.0</v>
      </c>
      <c r="E78" s="30">
        <v>32139.0</v>
      </c>
      <c r="F78" s="28">
        <f t="shared" si="12"/>
        <v>31836.90619</v>
      </c>
      <c r="G78" s="26">
        <v>70.0</v>
      </c>
      <c r="H78" s="28">
        <f t="shared" si="7"/>
        <v>31884.74655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15.75" customHeight="1">
      <c r="A79" s="29">
        <v>45606.0</v>
      </c>
      <c r="B79" s="21">
        <v>0.0</v>
      </c>
      <c r="C79" s="20">
        <v>45606.0</v>
      </c>
      <c r="D79" s="21">
        <v>32139.0</v>
      </c>
      <c r="E79" s="30">
        <v>32139.0</v>
      </c>
      <c r="F79" s="28">
        <f t="shared" si="12"/>
        <v>31537.65194</v>
      </c>
      <c r="G79" s="26">
        <v>71.0</v>
      </c>
      <c r="H79" s="28">
        <f t="shared" si="7"/>
        <v>31632.50452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15.75" customHeight="1">
      <c r="A80" s="29">
        <v>45636.0</v>
      </c>
      <c r="B80" s="40">
        <v>0.0</v>
      </c>
      <c r="C80" s="20">
        <v>45636.0</v>
      </c>
      <c r="D80" s="21">
        <v>32139.0</v>
      </c>
      <c r="E80" s="30">
        <v>32139.0</v>
      </c>
      <c r="F80" s="28">
        <f t="shared" si="12"/>
        <v>31241.21056</v>
      </c>
      <c r="G80" s="41">
        <v>72.0</v>
      </c>
      <c r="H80" s="28">
        <f t="shared" si="7"/>
        <v>31382.25799</v>
      </c>
      <c r="I80" s="42"/>
      <c r="J80" s="42"/>
      <c r="K80" s="43"/>
      <c r="L80" s="43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15.75" customHeight="1">
      <c r="A81" s="44">
        <v>45667.0</v>
      </c>
      <c r="B81" s="45">
        <v>0.0</v>
      </c>
      <c r="C81" s="44">
        <v>45667.0</v>
      </c>
      <c r="D81" s="21">
        <v>32139.0</v>
      </c>
      <c r="E81" s="30">
        <v>32139.0</v>
      </c>
      <c r="F81" s="28">
        <f t="shared" si="12"/>
        <v>30947.55562</v>
      </c>
      <c r="G81" s="46">
        <v>73.0</v>
      </c>
      <c r="H81" s="28">
        <f t="shared" si="7"/>
        <v>31133.99117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15.75" customHeight="1">
      <c r="A82" s="44">
        <v>45698.0</v>
      </c>
      <c r="B82" s="45">
        <v>0.0</v>
      </c>
      <c r="C82" s="44">
        <v>45698.0</v>
      </c>
      <c r="D82" s="21">
        <v>32139.0</v>
      </c>
      <c r="E82" s="30">
        <v>32139.0</v>
      </c>
      <c r="F82" s="28">
        <f t="shared" si="12"/>
        <v>30656.66091</v>
      </c>
      <c r="G82" s="46">
        <v>74.0</v>
      </c>
      <c r="H82" s="28">
        <f t="shared" si="7"/>
        <v>30887.68841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15.75" customHeight="1">
      <c r="A83" s="44">
        <v>45726.0</v>
      </c>
      <c r="B83" s="45">
        <v>0.0</v>
      </c>
      <c r="C83" s="44">
        <v>45726.0</v>
      </c>
      <c r="D83" s="21">
        <v>32139.0</v>
      </c>
      <c r="E83" s="30">
        <v>32139.0</v>
      </c>
      <c r="F83" s="28">
        <f t="shared" si="12"/>
        <v>30368.5005</v>
      </c>
      <c r="G83" s="46">
        <v>75.0</v>
      </c>
      <c r="H83" s="28">
        <f t="shared" si="7"/>
        <v>30643.33416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15.75" customHeight="1">
      <c r="A84" s="29"/>
      <c r="B84" s="21"/>
      <c r="C84" s="21"/>
      <c r="D84" s="21" t="s">
        <v>18</v>
      </c>
      <c r="E84" s="39">
        <f>SUM(E5:E83)</f>
        <v>1059009</v>
      </c>
      <c r="F84" s="47">
        <f>SUM(F6:F83)</f>
        <v>1240931.682</v>
      </c>
      <c r="G84" s="26"/>
      <c r="H84" s="47">
        <f>SUM(H6:H83)</f>
        <v>1208105.129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15.75" customHeight="1">
      <c r="A85" s="48"/>
      <c r="B85" s="49"/>
      <c r="C85" s="48"/>
      <c r="D85" s="37"/>
      <c r="E85" s="50"/>
      <c r="F85" s="49"/>
      <c r="G85" s="49"/>
      <c r="H85" s="4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15.75" customHeight="1">
      <c r="A86" s="48"/>
      <c r="B86" s="49"/>
      <c r="C86" s="48"/>
      <c r="D86" s="37"/>
      <c r="E86" s="37"/>
      <c r="F86" s="49"/>
      <c r="G86" s="49"/>
      <c r="H86" s="4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15.75" customHeight="1">
      <c r="A87" s="48"/>
      <c r="B87" s="49"/>
      <c r="C87" s="48"/>
      <c r="D87" s="37"/>
      <c r="E87" s="37"/>
      <c r="F87" s="49"/>
      <c r="G87" s="49"/>
      <c r="H87" s="4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15.75" customHeight="1">
      <c r="A88" s="48"/>
      <c r="B88" s="49"/>
      <c r="C88" s="48"/>
      <c r="D88" s="37"/>
      <c r="E88" s="37"/>
      <c r="F88" s="49"/>
      <c r="G88" s="49"/>
      <c r="H88" s="4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15.75" customHeight="1">
      <c r="A89" s="51"/>
      <c r="B89" s="49"/>
      <c r="C89" s="48"/>
      <c r="D89" s="37"/>
      <c r="E89" s="37"/>
      <c r="F89" s="49"/>
      <c r="G89" s="49"/>
      <c r="H89" s="4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15.75" customHeight="1">
      <c r="A90" s="52"/>
      <c r="B90" s="49"/>
      <c r="C90" s="48"/>
      <c r="D90" s="37"/>
      <c r="E90" s="37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15.75" customHeight="1">
      <c r="A91" s="48"/>
      <c r="B91" s="49"/>
      <c r="C91" s="48"/>
      <c r="D91" s="37"/>
      <c r="E91" s="3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15.75" customHeight="1">
      <c r="A92" s="48"/>
      <c r="B92" s="49"/>
      <c r="C92" s="48"/>
      <c r="D92" s="37"/>
      <c r="E92" s="37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15.75" customHeight="1">
      <c r="A93" s="48"/>
      <c r="B93" s="49"/>
      <c r="C93" s="48"/>
      <c r="D93" s="37"/>
      <c r="E93" s="37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15.75" customHeight="1">
      <c r="A94" s="48"/>
      <c r="B94" s="49"/>
      <c r="C94" s="48"/>
      <c r="D94" s="37"/>
      <c r="E94" s="3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15.75" customHeight="1">
      <c r="A95" s="48"/>
      <c r="B95" s="49"/>
      <c r="C95" s="48"/>
      <c r="D95" s="37"/>
      <c r="E95" s="3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15.75" customHeight="1">
      <c r="A96" s="48"/>
      <c r="B96" s="49"/>
      <c r="C96" s="48"/>
      <c r="D96" s="37"/>
      <c r="E96" s="37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15.75" customHeight="1">
      <c r="A97" s="48"/>
      <c r="B97" s="49"/>
      <c r="C97" s="48"/>
      <c r="D97" s="37"/>
      <c r="E97" s="3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15.75" customHeight="1">
      <c r="A98" s="48"/>
      <c r="B98" s="49"/>
      <c r="C98" s="48"/>
      <c r="D98" s="37"/>
      <c r="E98" s="3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15.75" customHeight="1">
      <c r="A99" s="48"/>
      <c r="B99" s="49"/>
      <c r="C99" s="48"/>
      <c r="D99" s="37"/>
      <c r="E99" s="3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15.75" customHeight="1">
      <c r="A100" s="48"/>
      <c r="B100" s="49"/>
      <c r="C100" s="48"/>
      <c r="D100" s="37"/>
      <c r="E100" s="3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15.75" customHeight="1">
      <c r="A101" s="48"/>
      <c r="B101" s="49"/>
      <c r="C101" s="48"/>
      <c r="D101" s="37"/>
      <c r="E101" s="3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15.75" customHeight="1">
      <c r="A102" s="48"/>
      <c r="B102" s="49"/>
      <c r="C102" s="48"/>
      <c r="D102" s="37"/>
      <c r="E102" s="3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15.75" customHeight="1">
      <c r="A103" s="48"/>
      <c r="B103" s="49"/>
      <c r="C103" s="48"/>
      <c r="D103" s="37"/>
      <c r="E103" s="37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15.75" customHeight="1">
      <c r="A104" s="48"/>
      <c r="B104" s="49"/>
      <c r="C104" s="4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15.75" customHeight="1">
      <c r="A105" s="48"/>
      <c r="B105" s="49"/>
      <c r="C105" s="4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15.75" customHeight="1">
      <c r="A106" s="48"/>
      <c r="B106" s="49"/>
      <c r="C106" s="4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15.75" customHeight="1">
      <c r="A107" s="48"/>
      <c r="B107" s="49"/>
      <c r="C107" s="4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15.75" customHeight="1">
      <c r="A108" s="48"/>
      <c r="B108" s="49"/>
      <c r="C108" s="4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15.75" customHeight="1">
      <c r="A109" s="48"/>
      <c r="B109" s="49"/>
      <c r="C109" s="4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15.75" customHeight="1">
      <c r="A110" s="48"/>
      <c r="B110" s="49"/>
      <c r="C110" s="4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15.75" customHeight="1">
      <c r="A111" s="48"/>
      <c r="B111" s="49"/>
      <c r="C111" s="4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15.75" customHeight="1">
      <c r="A112" s="48"/>
      <c r="B112" s="49"/>
      <c r="C112" s="4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15.75" customHeight="1">
      <c r="A113" s="48"/>
      <c r="B113" s="49"/>
      <c r="C113" s="4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15.75" customHeight="1">
      <c r="A114" s="48"/>
      <c r="B114" s="49"/>
      <c r="C114" s="4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15.75" customHeight="1">
      <c r="A115" s="48"/>
      <c r="B115" s="49"/>
      <c r="C115" s="4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15.75" customHeight="1">
      <c r="A116" s="48"/>
      <c r="B116" s="49"/>
      <c r="C116" s="4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15.75" customHeight="1">
      <c r="A117" s="48"/>
      <c r="B117" s="49"/>
      <c r="C117" s="4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15.75" customHeight="1">
      <c r="A118" s="48"/>
      <c r="B118" s="49"/>
      <c r="C118" s="4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15.75" customHeight="1">
      <c r="A119" s="48"/>
      <c r="B119" s="49"/>
      <c r="C119" s="4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15.75" customHeight="1">
      <c r="A120" s="48"/>
      <c r="B120" s="49"/>
      <c r="C120" s="4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15.75" customHeight="1">
      <c r="A121" s="48"/>
      <c r="B121" s="49"/>
      <c r="C121" s="4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15.75" customHeight="1">
      <c r="A122" s="48"/>
      <c r="B122" s="49"/>
      <c r="C122" s="4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15.75" customHeight="1">
      <c r="A123" s="48"/>
      <c r="B123" s="49"/>
      <c r="C123" s="4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15.75" customHeight="1">
      <c r="A124" s="48"/>
      <c r="B124" s="49"/>
      <c r="C124" s="4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15.75" customHeight="1">
      <c r="A125" s="48"/>
      <c r="B125" s="49"/>
      <c r="C125" s="4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15.75" customHeight="1">
      <c r="A126" s="48"/>
      <c r="B126" s="49"/>
      <c r="C126" s="4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15.75" customHeight="1">
      <c r="A127" s="48"/>
      <c r="B127" s="49"/>
      <c r="C127" s="4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15.75" customHeight="1">
      <c r="A128" s="48"/>
      <c r="B128" s="49"/>
      <c r="C128" s="4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15.75" customHeight="1">
      <c r="A129" s="48"/>
      <c r="B129" s="49"/>
      <c r="C129" s="4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15.75" customHeight="1">
      <c r="A130" s="48"/>
      <c r="B130" s="49"/>
      <c r="C130" s="4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15.75" customHeight="1">
      <c r="A131" s="48"/>
      <c r="B131" s="49"/>
      <c r="C131" s="4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15.75" customHeight="1">
      <c r="A132" s="48"/>
      <c r="B132" s="49"/>
      <c r="C132" s="4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15.75" customHeight="1">
      <c r="A133" s="48"/>
      <c r="B133" s="49"/>
      <c r="C133" s="4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15.75" customHeight="1">
      <c r="A134" s="48"/>
      <c r="B134" s="49"/>
      <c r="C134" s="4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15.75" customHeight="1">
      <c r="A135" s="48"/>
      <c r="B135" s="49"/>
      <c r="C135" s="4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15.75" customHeight="1">
      <c r="A136" s="48"/>
      <c r="B136" s="49"/>
      <c r="C136" s="4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15.75" customHeight="1">
      <c r="A137" s="48"/>
      <c r="B137" s="49"/>
      <c r="C137" s="4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15.75" customHeight="1">
      <c r="A138" s="48"/>
      <c r="B138" s="49"/>
      <c r="C138" s="4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15.75" customHeight="1">
      <c r="A139" s="48"/>
      <c r="B139" s="49"/>
      <c r="C139" s="4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15.75" customHeight="1">
      <c r="A140" s="48"/>
      <c r="B140" s="49"/>
      <c r="C140" s="4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15.75" customHeight="1">
      <c r="A141" s="48"/>
      <c r="B141" s="49"/>
      <c r="C141" s="4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15.75" customHeight="1">
      <c r="A142" s="48"/>
      <c r="B142" s="49"/>
      <c r="C142" s="4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15.75" customHeight="1">
      <c r="A143" s="48"/>
      <c r="B143" s="49"/>
      <c r="C143" s="4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15.75" customHeight="1">
      <c r="A144" s="48"/>
      <c r="B144" s="49"/>
      <c r="C144" s="4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15.75" customHeight="1">
      <c r="A145" s="48"/>
      <c r="B145" s="49"/>
      <c r="C145" s="4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15.75" customHeight="1">
      <c r="A146" s="48"/>
      <c r="B146" s="49"/>
      <c r="C146" s="4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15.75" customHeight="1">
      <c r="A147" s="48"/>
      <c r="B147" s="49"/>
      <c r="C147" s="4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15.75" customHeight="1">
      <c r="A148" s="48"/>
      <c r="B148" s="49"/>
      <c r="C148" s="4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15.75" customHeight="1">
      <c r="A149" s="48"/>
      <c r="B149" s="49"/>
      <c r="C149" s="4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15.75" customHeight="1">
      <c r="A150" s="48"/>
      <c r="B150" s="49"/>
      <c r="C150" s="4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15.75" customHeight="1">
      <c r="A151" s="48"/>
      <c r="B151" s="49"/>
      <c r="C151" s="4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15.75" customHeight="1">
      <c r="A152" s="48"/>
      <c r="B152" s="49"/>
      <c r="C152" s="4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15.75" customHeight="1">
      <c r="A153" s="48"/>
      <c r="B153" s="49"/>
      <c r="C153" s="4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15.75" customHeight="1">
      <c r="A154" s="48"/>
      <c r="B154" s="49"/>
      <c r="C154" s="4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15.75" customHeight="1">
      <c r="A155" s="48"/>
      <c r="B155" s="49"/>
      <c r="C155" s="4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15.75" customHeight="1">
      <c r="A156" s="48"/>
      <c r="B156" s="49"/>
      <c r="C156" s="4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15.75" customHeight="1">
      <c r="A157" s="48"/>
      <c r="B157" s="49"/>
      <c r="C157" s="4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15.75" customHeight="1">
      <c r="A158" s="48"/>
      <c r="B158" s="49"/>
      <c r="C158" s="4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15.75" customHeight="1">
      <c r="A159" s="48"/>
      <c r="B159" s="49"/>
      <c r="C159" s="4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15.75" customHeight="1">
      <c r="A160" s="48"/>
      <c r="B160" s="49"/>
      <c r="C160" s="4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15.75" customHeight="1">
      <c r="A161" s="48"/>
      <c r="B161" s="49"/>
      <c r="C161" s="4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15.75" customHeight="1">
      <c r="A162" s="48"/>
      <c r="B162" s="49"/>
      <c r="C162" s="4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15.75" customHeight="1">
      <c r="A163" s="48"/>
      <c r="B163" s="49"/>
      <c r="C163" s="4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15.75" customHeight="1">
      <c r="A164" s="48"/>
      <c r="B164" s="49"/>
      <c r="C164" s="4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15.75" customHeight="1">
      <c r="A165" s="48"/>
      <c r="B165" s="49"/>
      <c r="C165" s="4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15.75" customHeight="1">
      <c r="A166" s="48"/>
      <c r="B166" s="49"/>
      <c r="C166" s="4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15.75" customHeight="1">
      <c r="A167" s="48"/>
      <c r="B167" s="49"/>
      <c r="C167" s="4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15.75" customHeight="1">
      <c r="A168" s="48"/>
      <c r="B168" s="49"/>
      <c r="C168" s="4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15.75" customHeight="1">
      <c r="A169" s="48"/>
      <c r="B169" s="49"/>
      <c r="C169" s="4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15.75" customHeight="1">
      <c r="A170" s="48"/>
      <c r="B170" s="49"/>
      <c r="C170" s="4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15.75" customHeight="1">
      <c r="A171" s="48"/>
      <c r="B171" s="49"/>
      <c r="C171" s="4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15.75" customHeight="1">
      <c r="A172" s="48"/>
      <c r="B172" s="49"/>
      <c r="C172" s="4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15.75" customHeight="1">
      <c r="A173" s="48"/>
      <c r="B173" s="49"/>
      <c r="C173" s="4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15.75" customHeight="1">
      <c r="A174" s="48"/>
      <c r="B174" s="49"/>
      <c r="C174" s="4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15.75" customHeight="1">
      <c r="A175" s="48"/>
      <c r="B175" s="49"/>
      <c r="C175" s="4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15.75" customHeight="1">
      <c r="A176" s="48"/>
      <c r="B176" s="49"/>
      <c r="C176" s="4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15.75" customHeight="1">
      <c r="A177" s="48"/>
      <c r="B177" s="49"/>
      <c r="C177" s="4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15.75" customHeight="1">
      <c r="A178" s="48"/>
      <c r="B178" s="49"/>
      <c r="C178" s="4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15.75" customHeight="1">
      <c r="A179" s="48"/>
      <c r="B179" s="49"/>
      <c r="C179" s="4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15.75" customHeight="1">
      <c r="A180" s="48"/>
      <c r="B180" s="49"/>
      <c r="C180" s="4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15.75" customHeight="1">
      <c r="A181" s="48"/>
      <c r="B181" s="49"/>
      <c r="C181" s="4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15.75" customHeight="1">
      <c r="A182" s="48"/>
      <c r="B182" s="49"/>
      <c r="C182" s="4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15.75" customHeight="1">
      <c r="A183" s="48"/>
      <c r="B183" s="49"/>
      <c r="C183" s="4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15.75" customHeight="1">
      <c r="A184" s="48"/>
      <c r="B184" s="49"/>
      <c r="C184" s="4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15.75" customHeight="1">
      <c r="A185" s="48"/>
      <c r="B185" s="49"/>
      <c r="C185" s="4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15.75" customHeight="1">
      <c r="A186" s="48"/>
      <c r="B186" s="49"/>
      <c r="C186" s="4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15.75" customHeight="1">
      <c r="A187" s="48"/>
      <c r="B187" s="49"/>
      <c r="C187" s="4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15.75" customHeight="1">
      <c r="A188" s="48"/>
      <c r="B188" s="49"/>
      <c r="C188" s="4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15.75" customHeight="1">
      <c r="A189" s="48"/>
      <c r="B189" s="49"/>
      <c r="C189" s="4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15.75" customHeight="1">
      <c r="A190" s="48"/>
      <c r="B190" s="49"/>
      <c r="C190" s="4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15.75" customHeight="1">
      <c r="A191" s="48"/>
      <c r="B191" s="49"/>
      <c r="C191" s="4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ht="15.75" customHeight="1">
      <c r="A192" s="48"/>
      <c r="B192" s="49"/>
      <c r="C192" s="4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15.75" customHeight="1">
      <c r="A193" s="48"/>
      <c r="B193" s="49"/>
      <c r="C193" s="4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ht="15.75" customHeight="1">
      <c r="A194" s="48"/>
      <c r="B194" s="49"/>
      <c r="C194" s="4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15.75" customHeight="1">
      <c r="A195" s="48"/>
      <c r="B195" s="49"/>
      <c r="C195" s="4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ht="15.75" customHeight="1">
      <c r="A196" s="48"/>
      <c r="B196" s="49"/>
      <c r="C196" s="4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15.75" customHeight="1">
      <c r="A197" s="48"/>
      <c r="B197" s="49"/>
      <c r="C197" s="4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ht="15.75" customHeight="1">
      <c r="A198" s="48"/>
      <c r="B198" s="49"/>
      <c r="C198" s="4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15.75" customHeight="1">
      <c r="A199" s="48"/>
      <c r="B199" s="49"/>
      <c r="C199" s="4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ht="15.75" customHeight="1">
      <c r="A200" s="48"/>
      <c r="B200" s="49"/>
      <c r="C200" s="4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15.75" customHeight="1">
      <c r="A201" s="48"/>
      <c r="B201" s="49"/>
      <c r="C201" s="4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ht="15.75" customHeight="1">
      <c r="A202" s="48"/>
      <c r="B202" s="49"/>
      <c r="C202" s="4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15.75" customHeight="1">
      <c r="A203" s="48"/>
      <c r="B203" s="49"/>
      <c r="C203" s="4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ht="15.75" customHeight="1">
      <c r="A204" s="48"/>
      <c r="B204" s="49"/>
      <c r="C204" s="4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15.75" customHeight="1">
      <c r="A205" s="48"/>
      <c r="B205" s="49"/>
      <c r="C205" s="4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ht="15.75" customHeight="1">
      <c r="A206" s="48"/>
      <c r="B206" s="49"/>
      <c r="C206" s="4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15.75" customHeight="1">
      <c r="A207" s="48"/>
      <c r="B207" s="49"/>
      <c r="C207" s="4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ht="15.75" customHeight="1">
      <c r="A208" s="48"/>
      <c r="B208" s="49"/>
      <c r="C208" s="4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15.75" customHeight="1">
      <c r="A209" s="48"/>
      <c r="B209" s="49"/>
      <c r="C209" s="4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ht="15.75" customHeight="1">
      <c r="A210" s="48"/>
      <c r="B210" s="49"/>
      <c r="C210" s="4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15.75" customHeight="1">
      <c r="A211" s="48"/>
      <c r="B211" s="49"/>
      <c r="C211" s="4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ht="15.75" customHeight="1">
      <c r="A212" s="48"/>
      <c r="B212" s="49"/>
      <c r="C212" s="4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15.75" customHeight="1">
      <c r="A213" s="48"/>
      <c r="B213" s="49"/>
      <c r="C213" s="4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ht="15.75" customHeight="1">
      <c r="A214" s="48"/>
      <c r="B214" s="49"/>
      <c r="C214" s="4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15.75" customHeight="1">
      <c r="A215" s="48"/>
      <c r="B215" s="49"/>
      <c r="C215" s="4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ht="15.75" customHeight="1">
      <c r="A216" s="48"/>
      <c r="B216" s="49"/>
      <c r="C216" s="4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15.75" customHeight="1">
      <c r="A217" s="48"/>
      <c r="B217" s="49"/>
      <c r="C217" s="4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ht="15.75" customHeight="1">
      <c r="A218" s="48"/>
      <c r="B218" s="49"/>
      <c r="C218" s="4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15.75" customHeight="1">
      <c r="A219" s="48"/>
      <c r="B219" s="49"/>
      <c r="C219" s="4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ht="15.75" customHeight="1">
      <c r="A220" s="48"/>
      <c r="B220" s="49"/>
      <c r="C220" s="4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15.75" customHeight="1">
      <c r="A221" s="48"/>
      <c r="B221" s="49"/>
      <c r="C221" s="4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15.75" customHeight="1">
      <c r="A222" s="48"/>
      <c r="B222" s="49"/>
      <c r="C222" s="4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5.75" customHeight="1">
      <c r="A223" s="48"/>
      <c r="B223" s="49"/>
      <c r="C223" s="4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15.75" customHeight="1">
      <c r="A224" s="48"/>
      <c r="B224" s="49"/>
      <c r="C224" s="4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5.75" customHeight="1">
      <c r="A225" s="48"/>
      <c r="B225" s="49"/>
      <c r="C225" s="4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15.75" customHeight="1">
      <c r="A226" s="48"/>
      <c r="B226" s="49"/>
      <c r="C226" s="4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5.75" customHeight="1">
      <c r="A227" s="48"/>
      <c r="B227" s="49"/>
      <c r="C227" s="4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15.75" customHeight="1">
      <c r="A228" s="48"/>
      <c r="B228" s="49"/>
      <c r="C228" s="4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5.75" customHeight="1">
      <c r="A229" s="48"/>
      <c r="B229" s="49"/>
      <c r="C229" s="4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15.75" customHeight="1">
      <c r="A230" s="48"/>
      <c r="B230" s="49"/>
      <c r="C230" s="4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5.75" customHeight="1">
      <c r="A231" s="48"/>
      <c r="B231" s="49"/>
      <c r="C231" s="4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ht="15.75" customHeight="1">
      <c r="A232" s="48"/>
      <c r="B232" s="49"/>
      <c r="C232" s="4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15.75" customHeight="1">
      <c r="A233" s="48"/>
      <c r="B233" s="49"/>
      <c r="C233" s="4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ht="15.75" customHeight="1">
      <c r="A234" s="48"/>
      <c r="B234" s="49"/>
      <c r="C234" s="4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15.75" customHeight="1">
      <c r="A235" s="48"/>
      <c r="B235" s="49"/>
      <c r="C235" s="4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ht="15.75" customHeight="1">
      <c r="A236" s="48"/>
      <c r="B236" s="49"/>
      <c r="C236" s="4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15.75" customHeight="1">
      <c r="A237" s="48"/>
      <c r="B237" s="49"/>
      <c r="C237" s="4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ht="15.75" customHeight="1">
      <c r="A238" s="48"/>
      <c r="B238" s="49"/>
      <c r="C238" s="4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15.75" customHeight="1">
      <c r="A239" s="48"/>
      <c r="B239" s="49"/>
      <c r="C239" s="4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ht="15.75" customHeight="1">
      <c r="A240" s="48"/>
      <c r="B240" s="49"/>
      <c r="C240" s="4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15.75" customHeight="1">
      <c r="A241" s="48"/>
      <c r="B241" s="49"/>
      <c r="C241" s="4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ht="15.75" customHeight="1">
      <c r="A242" s="48"/>
      <c r="B242" s="49"/>
      <c r="C242" s="4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15.75" customHeight="1">
      <c r="A243" s="48"/>
      <c r="B243" s="49"/>
      <c r="C243" s="4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ht="15.75" customHeight="1">
      <c r="A244" s="48"/>
      <c r="B244" s="49"/>
      <c r="C244" s="4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15.75" customHeight="1">
      <c r="A245" s="48"/>
      <c r="B245" s="49"/>
      <c r="C245" s="4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ht="15.75" customHeight="1">
      <c r="A246" s="48"/>
      <c r="B246" s="49"/>
      <c r="C246" s="4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15.75" customHeight="1">
      <c r="A247" s="48"/>
      <c r="B247" s="49"/>
      <c r="C247" s="4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ht="15.75" customHeight="1">
      <c r="A248" s="48"/>
      <c r="B248" s="49"/>
      <c r="C248" s="4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15.75" customHeight="1">
      <c r="A249" s="48"/>
      <c r="B249" s="49"/>
      <c r="C249" s="4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ht="15.75" customHeight="1">
      <c r="A250" s="48"/>
      <c r="B250" s="49"/>
      <c r="C250" s="4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15.75" customHeight="1">
      <c r="A251" s="48"/>
      <c r="B251" s="49"/>
      <c r="C251" s="48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ht="15.75" customHeight="1">
      <c r="A252" s="48"/>
      <c r="B252" s="49"/>
      <c r="C252" s="48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15.75" customHeight="1">
      <c r="A253" s="48"/>
      <c r="B253" s="49"/>
      <c r="C253" s="48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ht="15.75" customHeight="1">
      <c r="A254" s="48"/>
      <c r="B254" s="49"/>
      <c r="C254" s="4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15.75" customHeight="1">
      <c r="A255" s="48"/>
      <c r="B255" s="49"/>
      <c r="C255" s="4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ht="15.75" customHeight="1">
      <c r="A256" s="48"/>
      <c r="B256" s="49"/>
      <c r="C256" s="48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15.75" customHeight="1">
      <c r="A257" s="48"/>
      <c r="B257" s="49"/>
      <c r="C257" s="48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ht="15.75" customHeight="1">
      <c r="A258" s="48"/>
      <c r="B258" s="49"/>
      <c r="C258" s="4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15.75" customHeight="1">
      <c r="A259" s="48"/>
      <c r="B259" s="49"/>
      <c r="C259" s="4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ht="15.75" customHeight="1">
      <c r="A260" s="48"/>
      <c r="B260" s="49"/>
      <c r="C260" s="4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15.75" customHeight="1">
      <c r="A261" s="48"/>
      <c r="B261" s="49"/>
      <c r="C261" s="4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ht="15.75" customHeight="1">
      <c r="A262" s="48"/>
      <c r="B262" s="49"/>
      <c r="C262" s="48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15.75" customHeight="1">
      <c r="A263" s="48"/>
      <c r="B263" s="49"/>
      <c r="C263" s="4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ht="15.75" customHeight="1">
      <c r="A264" s="48"/>
      <c r="B264" s="49"/>
      <c r="C264" s="4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15.75" customHeight="1">
      <c r="A265" s="48"/>
      <c r="B265" s="49"/>
      <c r="C265" s="4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ht="15.75" customHeight="1">
      <c r="A266" s="48"/>
      <c r="B266" s="49"/>
      <c r="C266" s="4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15.75" customHeight="1">
      <c r="A267" s="48"/>
      <c r="B267" s="49"/>
      <c r="C267" s="48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ht="15.75" customHeight="1">
      <c r="A268" s="48"/>
      <c r="B268" s="49"/>
      <c r="C268" s="48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15.75" customHeight="1">
      <c r="A269" s="48"/>
      <c r="B269" s="49"/>
      <c r="C269" s="48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ht="15.75" customHeight="1">
      <c r="A270" s="48"/>
      <c r="B270" s="49"/>
      <c r="C270" s="48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15.75" customHeight="1">
      <c r="A271" s="48"/>
      <c r="B271" s="49"/>
      <c r="C271" s="48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ht="15.75" customHeight="1">
      <c r="A272" s="48"/>
      <c r="B272" s="49"/>
      <c r="C272" s="48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15.75" customHeight="1">
      <c r="A273" s="48"/>
      <c r="B273" s="49"/>
      <c r="C273" s="48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ht="15.75" customHeight="1">
      <c r="A274" s="48"/>
      <c r="B274" s="49"/>
      <c r="C274" s="48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15.75" customHeight="1">
      <c r="A275" s="48"/>
      <c r="B275" s="49"/>
      <c r="C275" s="48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ht="15.75" customHeight="1">
      <c r="A276" s="48"/>
      <c r="B276" s="49"/>
      <c r="C276" s="48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15.75" customHeight="1">
      <c r="A277" s="48"/>
      <c r="B277" s="49"/>
      <c r="C277" s="48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ht="15.75" customHeight="1">
      <c r="A278" s="48"/>
      <c r="B278" s="49"/>
      <c r="C278" s="48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15.75" customHeight="1">
      <c r="A279" s="48"/>
      <c r="B279" s="49"/>
      <c r="C279" s="48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ht="15.75" customHeight="1">
      <c r="A280" s="48"/>
      <c r="B280" s="49"/>
      <c r="C280" s="48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15.75" customHeight="1">
      <c r="A281" s="48"/>
      <c r="B281" s="49"/>
      <c r="C281" s="48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ht="15.75" customHeight="1">
      <c r="A282" s="48"/>
      <c r="B282" s="49"/>
      <c r="C282" s="48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15.75" customHeight="1">
      <c r="A283" s="48"/>
      <c r="B283" s="49"/>
      <c r="C283" s="4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ht="15.75" customHeight="1">
      <c r="A284" s="48"/>
      <c r="B284" s="49"/>
      <c r="C284" s="4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4:$F$20"/>
  <printOptions gridLines="1" horizontalCentered="1"/>
  <pageMargins bottom="0.75" footer="0.0" header="0.0" left="0.7" right="0.7" top="0.75"/>
  <pageSetup paperSize="9" cellComments="atEnd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" t="s">
        <v>19</v>
      </c>
      <c r="B1" s="19" t="s">
        <v>20</v>
      </c>
      <c r="C1" s="53" t="s">
        <v>21</v>
      </c>
      <c r="D1" s="6" t="s">
        <v>22</v>
      </c>
      <c r="E1" s="7"/>
      <c r="F1" s="6"/>
      <c r="G1" s="7"/>
      <c r="H1" s="6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